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amos\"/>
    </mc:Choice>
  </mc:AlternateContent>
  <bookViews>
    <workbookView xWindow="0" yWindow="0" windowWidth="23040" windowHeight="8496"/>
  </bookViews>
  <sheets>
    <sheet name="Sheet1" sheetId="1" r:id="rId1"/>
  </sheets>
  <definedNames>
    <definedName name="_xlchart.v1.0" hidden="1">Sheet1!$A$2</definedName>
    <definedName name="_xlchart.v1.1" hidden="1">Sheet1!$A$3:$A$13</definedName>
    <definedName name="_xlchart.v1.2" hidden="1">Sheet1!$B$2</definedName>
    <definedName name="_xlchart.v1.3" hidden="1">Sheet1!$B$3:$B$13</definedName>
    <definedName name="_xlchart.v1.4" hidden="1">Sheet1!$C$2</definedName>
    <definedName name="_xlchart.v1.5" hidden="1">Sheet1!$C$3:$C$13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  <c r="B15" i="1"/>
  <c r="B16" i="1"/>
  <c r="C17" i="1"/>
</calcChain>
</file>

<file path=xl/sharedStrings.xml><?xml version="1.0" encoding="utf-8"?>
<sst xmlns="http://schemas.openxmlformats.org/spreadsheetml/2006/main" count="7" uniqueCount="7">
  <si>
    <t>INTERNET OF THINGS</t>
  </si>
  <si>
    <t>YEARS</t>
  </si>
  <si>
    <t>CONNECTED DEVICES(MILLIONS)</t>
  </si>
  <si>
    <t>COST(HEALTHCARE MARKET)</t>
  </si>
  <si>
    <t>AVERAGE</t>
  </si>
  <si>
    <t>TOTAL DEVICES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</si>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</sst>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9" formatCode="_(&quot;$&quot;* #,##0.0_);_(&quot;$&quot;* \(#,##0.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69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YEARS</c:v>
                </c:pt>
              </c:strCache>
            </c:strRef>
          </c:tx>
          <c:invertIfNegative val="0"/>
          <c:dLbls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val>
            <c:numRef>
              <c:f>Sheet1!$A$3:$A$13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C7-42AA-B612-367A498F06EE}"/>
            </c:ext>
          </c:extLst>
        </c:ser>
        <c:ser>
          <c:idx val="1"/>
          <c:order val="1"/>
          <c:tx>
            <c:strRef>
              <c:f>Sheet1!$B$2</c:f>
              <c:strCache>
                <c:ptCount val="1"/>
                <c:pt idx="0">
                  <c:v>CONNECTED DEVICES(MILLIONS)</c:v>
                </c:pt>
              </c:strCache>
            </c:strRef>
          </c:tx>
          <c:invertIfNegative val="0"/>
          <c:dLbls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val>
            <c:numRef>
              <c:f>Sheet1!$B$3:$B$13</c:f>
              <c:numCache>
                <c:formatCode>General</c:formatCode>
                <c:ptCount val="11"/>
                <c:pt idx="0">
                  <c:v>15.41</c:v>
                </c:pt>
                <c:pt idx="1">
                  <c:v>17.68</c:v>
                </c:pt>
                <c:pt idx="2">
                  <c:v>20.350000000000001</c:v>
                </c:pt>
                <c:pt idx="3">
                  <c:v>23.14</c:v>
                </c:pt>
                <c:pt idx="4">
                  <c:v>26.66</c:v>
                </c:pt>
                <c:pt idx="5">
                  <c:v>30.73</c:v>
                </c:pt>
                <c:pt idx="6">
                  <c:v>35.82</c:v>
                </c:pt>
                <c:pt idx="7">
                  <c:v>42.62</c:v>
                </c:pt>
                <c:pt idx="8">
                  <c:v>51.11</c:v>
                </c:pt>
                <c:pt idx="9">
                  <c:v>62.12</c:v>
                </c:pt>
                <c:pt idx="10">
                  <c:v>75.44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C7-42AA-B612-367A498F06EE}"/>
            </c:ext>
          </c:extLst>
        </c:ser>
        <c:ser>
          <c:idx val="2"/>
          <c:order val="2"/>
          <c:tx>
            <c:strRef>
              <c:f>Sheet1!$C$2</c:f>
              <c:strCache>
                <c:ptCount val="1"/>
                <c:pt idx="0">
                  <c:v>COST(HEALTHCARE MARKET)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val>
            <c:numRef>
              <c:f>Sheet1!$C$3:$C$13</c:f>
              <c:numCache>
                <c:formatCode>_("$"* #,##0.0_);_("$"* \(#,##0.0\);_("$"* "-"??_);_(@_)</c:formatCode>
                <c:ptCount val="11"/>
                <c:pt idx="0">
                  <c:v>64</c:v>
                </c:pt>
                <c:pt idx="1">
                  <c:v>79</c:v>
                </c:pt>
                <c:pt idx="2">
                  <c:v>120</c:v>
                </c:pt>
                <c:pt idx="3">
                  <c:v>147</c:v>
                </c:pt>
                <c:pt idx="4">
                  <c:v>180</c:v>
                </c:pt>
                <c:pt idx="5">
                  <c:v>219</c:v>
                </c:pt>
                <c:pt idx="6">
                  <c:v>265</c:v>
                </c:pt>
                <c:pt idx="7">
                  <c:v>319</c:v>
                </c:pt>
                <c:pt idx="8">
                  <c:v>382</c:v>
                </c:pt>
                <c:pt idx="9">
                  <c:v>435</c:v>
                </c:pt>
                <c:pt idx="10">
                  <c:v>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C7-42AA-B612-367A498F06E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</c:dLbls>
        <c:gapWidth val="150"/>
        <c:axId val="1844247119"/>
        <c:axId val="1844241711"/>
      </c:barChart>
      <c:catAx>
        <c:axId val="1844247119"/>
        <c:scaling>
          <c:orientation val="minMax"/>
        </c:scaling>
        <c:delete val="0"/>
        <c:axPos val="l"/>
        <c:majorTickMark val="none"/>
        <c:minorTickMark val="none"/>
        <c:tickLblPos val="nextTo"/>
        <c:crossAx val="1844241711"/>
        <c:auto val="1"/>
        <c:lblAlgn val="ctr"/>
        <c:lblOffset val="100"/>
        <c:noMultiLvlLbl val="0"/>
      </c:catAx>
      <c:valAx>
        <c:axId val="1844241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844247119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Sheet1!$A$2</c:f>
              <c:strCache>
                <c:ptCount val="1"/>
                <c:pt idx="0">
                  <c:v>YEARS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val>
            <c:numRef>
              <c:f>Sheet1!$A$3:$A$13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95-4936-B540-CB0CEF227A9E}"/>
            </c:ext>
          </c:extLst>
        </c:ser>
        <c:ser>
          <c:idx val="1"/>
          <c:order val="1"/>
          <c:tx>
            <c:strRef>
              <c:f>Sheet1!$B$2</c:f>
              <c:strCache>
                <c:ptCount val="1"/>
                <c:pt idx="0">
                  <c:v>CONNECTED DEVICES(MILLIONS)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Sheet1!$B$3:$B$13</c:f>
              <c:numCache>
                <c:formatCode>General</c:formatCode>
                <c:ptCount val="11"/>
                <c:pt idx="0">
                  <c:v>15.41</c:v>
                </c:pt>
                <c:pt idx="1">
                  <c:v>17.68</c:v>
                </c:pt>
                <c:pt idx="2">
                  <c:v>20.350000000000001</c:v>
                </c:pt>
                <c:pt idx="3">
                  <c:v>23.14</c:v>
                </c:pt>
                <c:pt idx="4">
                  <c:v>26.66</c:v>
                </c:pt>
                <c:pt idx="5">
                  <c:v>30.73</c:v>
                </c:pt>
                <c:pt idx="6">
                  <c:v>35.82</c:v>
                </c:pt>
                <c:pt idx="7">
                  <c:v>42.62</c:v>
                </c:pt>
                <c:pt idx="8">
                  <c:v>51.11</c:v>
                </c:pt>
                <c:pt idx="9">
                  <c:v>62.12</c:v>
                </c:pt>
                <c:pt idx="10">
                  <c:v>75.44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95-4936-B540-CB0CEF227A9E}"/>
            </c:ext>
          </c:extLst>
        </c:ser>
        <c:ser>
          <c:idx val="2"/>
          <c:order val="2"/>
          <c:tx>
            <c:strRef>
              <c:f>Sheet1!$C$2</c:f>
              <c:strCache>
                <c:ptCount val="1"/>
                <c:pt idx="0">
                  <c:v>COST(HEALTHCARE MARKET)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Sheet1!$C$3:$C$13</c:f>
              <c:numCache>
                <c:formatCode>_("$"* #,##0.0_);_("$"* \(#,##0.0\);_("$"* "-"??_);_(@_)</c:formatCode>
                <c:ptCount val="11"/>
                <c:pt idx="0">
                  <c:v>64</c:v>
                </c:pt>
                <c:pt idx="1">
                  <c:v>79</c:v>
                </c:pt>
                <c:pt idx="2">
                  <c:v>120</c:v>
                </c:pt>
                <c:pt idx="3">
                  <c:v>147</c:v>
                </c:pt>
                <c:pt idx="4">
                  <c:v>180</c:v>
                </c:pt>
                <c:pt idx="5">
                  <c:v>219</c:v>
                </c:pt>
                <c:pt idx="6">
                  <c:v>265</c:v>
                </c:pt>
                <c:pt idx="7">
                  <c:v>319</c:v>
                </c:pt>
                <c:pt idx="8">
                  <c:v>382</c:v>
                </c:pt>
                <c:pt idx="9">
                  <c:v>435</c:v>
                </c:pt>
                <c:pt idx="10">
                  <c:v>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95-4936-B540-CB0CEF227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121920</xdr:rowOff>
    </xdr:to>
    <xdr:sp macro="" textlink="">
      <xdr:nvSpPr>
        <xdr:cNvPr id="1026" name="AutoShape 2" descr="Forms response chart. Question title: What is your age group?. Number of responses: 22 responses.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121920</xdr:rowOff>
    </xdr:to>
    <xdr:sp macro="" textlink="">
      <xdr:nvSpPr>
        <xdr:cNvPr id="1027" name="AutoShape 3" descr="Forms response chart. Question title: What is your age group?. Number of responses: 22 responses.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121920</xdr:rowOff>
    </xdr:to>
    <xdr:sp macro="" textlink="">
      <xdr:nvSpPr>
        <xdr:cNvPr id="1029" name="AutoShape 5" descr="Forms response chart. Question title: What is your age group?. Number of responses: 22 responses.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114300</xdr:colOff>
      <xdr:row>0</xdr:row>
      <xdr:rowOff>148590</xdr:rowOff>
    </xdr:from>
    <xdr:to>
      <xdr:col>11</xdr:col>
      <xdr:colOff>419100</xdr:colOff>
      <xdr:row>15</xdr:row>
      <xdr:rowOff>148590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716280</xdr:colOff>
      <xdr:row>16</xdr:row>
      <xdr:rowOff>95250</xdr:rowOff>
    </xdr:from>
    <xdr:to>
      <xdr:col>8</xdr:col>
      <xdr:colOff>533400</xdr:colOff>
      <xdr:row>31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workbookViewId="0">
      <selection activeCell="L23" sqref="L23"/>
    </sheetView>
  </sheetViews>
  <sheetFormatPr defaultRowHeight="14.4" x14ac:dyDescent="0.3"/>
  <cols>
    <col min="1" max="1" width="18.88671875" bestFit="1" customWidth="1"/>
    <col min="2" max="2" width="28.44140625" bestFit="1" customWidth="1"/>
    <col min="3" max="3" width="24.88671875" bestFit="1" customWidth="1"/>
  </cols>
  <sheetData>
    <row r="1" spans="1:3" x14ac:dyDescent="0.3">
      <c r="A1" t="s">
        <v>0</v>
      </c>
    </row>
    <row r="2" spans="1:3" x14ac:dyDescent="0.3">
      <c r="A2" s="1" t="s">
        <v>1</v>
      </c>
      <c r="B2" s="1" t="s">
        <v>2</v>
      </c>
      <c r="C2" s="1" t="s">
        <v>3</v>
      </c>
    </row>
    <row r="3" spans="1:3" x14ac:dyDescent="0.3">
      <c r="A3">
        <v>2015</v>
      </c>
      <c r="B3">
        <v>15.41</v>
      </c>
      <c r="C3" s="2">
        <v>64</v>
      </c>
    </row>
    <row r="4" spans="1:3" x14ac:dyDescent="0.3">
      <c r="A4">
        <v>2016</v>
      </c>
      <c r="B4">
        <v>17.68</v>
      </c>
      <c r="C4" s="2">
        <v>79</v>
      </c>
    </row>
    <row r="5" spans="1:3" x14ac:dyDescent="0.3">
      <c r="A5">
        <v>2017</v>
      </c>
      <c r="B5">
        <v>20.350000000000001</v>
      </c>
      <c r="C5" s="2">
        <v>120</v>
      </c>
    </row>
    <row r="6" spans="1:3" x14ac:dyDescent="0.3">
      <c r="A6">
        <v>2018</v>
      </c>
      <c r="B6">
        <v>23.14</v>
      </c>
      <c r="C6" s="2">
        <v>147</v>
      </c>
    </row>
    <row r="7" spans="1:3" x14ac:dyDescent="0.3">
      <c r="A7">
        <v>2019</v>
      </c>
      <c r="B7">
        <v>26.66</v>
      </c>
      <c r="C7" s="2">
        <v>180</v>
      </c>
    </row>
    <row r="8" spans="1:3" x14ac:dyDescent="0.3">
      <c r="A8">
        <v>2020</v>
      </c>
      <c r="B8">
        <v>30.73</v>
      </c>
      <c r="C8" s="2">
        <v>219</v>
      </c>
    </row>
    <row r="9" spans="1:3" x14ac:dyDescent="0.3">
      <c r="A9">
        <v>2021</v>
      </c>
      <c r="B9">
        <v>35.82</v>
      </c>
      <c r="C9" s="2">
        <v>265</v>
      </c>
    </row>
    <row r="10" spans="1:3" x14ac:dyDescent="0.3">
      <c r="A10">
        <v>2022</v>
      </c>
      <c r="B10">
        <v>42.62</v>
      </c>
      <c r="C10" s="2">
        <v>319</v>
      </c>
    </row>
    <row r="11" spans="1:3" x14ac:dyDescent="0.3">
      <c r="A11">
        <v>2023</v>
      </c>
      <c r="B11">
        <v>51.11</v>
      </c>
      <c r="C11" s="2">
        <v>382</v>
      </c>
    </row>
    <row r="12" spans="1:3" x14ac:dyDescent="0.3">
      <c r="A12">
        <v>2024</v>
      </c>
      <c r="B12">
        <v>62.12</v>
      </c>
      <c r="C12" s="2">
        <v>435</v>
      </c>
    </row>
    <row r="13" spans="1:3" x14ac:dyDescent="0.3">
      <c r="A13">
        <v>2025</v>
      </c>
      <c r="B13">
        <v>75.44</v>
      </c>
      <c r="C13" s="2">
        <v>534</v>
      </c>
    </row>
    <row r="14" spans="1:3" x14ac:dyDescent="0.3">
      <c r="C14" s="2"/>
    </row>
    <row r="15" spans="1:3" x14ac:dyDescent="0.3">
      <c r="A15" s="1" t="s">
        <v>4</v>
      </c>
      <c r="B15">
        <f>AVERAGE(B3:B13)</f>
        <v>36.461818181818181</v>
      </c>
      <c r="C15" s="2">
        <f>AVERAGE(C3:C13)</f>
        <v>249.45454545454547</v>
      </c>
    </row>
    <row r="16" spans="1:3" x14ac:dyDescent="0.3">
      <c r="A16" s="1" t="s">
        <v>5</v>
      </c>
      <c r="B16">
        <f>SUM(B3:B13)</f>
        <v>401.08</v>
      </c>
      <c r="C16" s="2"/>
    </row>
    <row r="17" spans="1:3" x14ac:dyDescent="0.3">
      <c r="A17" s="1" t="s">
        <v>6</v>
      </c>
      <c r="C17" s="2">
        <f>SUM(C3:C13)</f>
        <v>2744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2025-11-14T08:15:17Z</dcterms:created>
  <dcterms:modified xsi:type="dcterms:W3CDTF">2025-11-14T12:49:34Z</dcterms:modified>
</cp:coreProperties>
</file>